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o283658\Desktop\EXAMEN\"/>
    </mc:Choice>
  </mc:AlternateContent>
  <xr:revisionPtr revIDLastSave="0" documentId="13_ncr:1_{48DD2F56-1BCC-468E-9390-C1EECAA2F9D9}" xr6:coauthVersionLast="47" xr6:coauthVersionMax="47" xr10:uidLastSave="{00000000-0000-0000-0000-000000000000}"/>
  <bookViews>
    <workbookView xWindow="1845" yWindow="1440" windowWidth="21600" windowHeight="12210" xr2:uid="{DA9D3B74-0160-48FD-8F2E-FA93F4C09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  <c r="C15" i="1" s="1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<sst xmlns="http://schemas.openxmlformats.org/spreadsheetml/2006/main" count="7" uniqueCount="7">
  <si>
    <t>Tiempos</t>
  </si>
  <si>
    <t>Tallas</t>
  </si>
  <si>
    <t>teorico</t>
  </si>
  <si>
    <t xml:space="preserve">t/t teorico </t>
  </si>
  <si>
    <t>Constante</t>
  </si>
  <si>
    <t>T teorico * const</t>
  </si>
  <si>
    <t>Si, estos tiempos responden a las estimaciones teoricas ya que en la grafica se puede observar la complejidad del problema 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</si>
</sst>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Tiempos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Hoja1!$B$4:$B$13</c:f>
              <c:numCache>
                <c:formatCode>General</c:formatCode>
                <c:ptCount val="10"/>
                <c:pt idx="0">
                  <c:v>2.9999999999999997E-4</c:v>
                </c:pt>
                <c:pt idx="1">
                  <c:v>1E-3</c:v>
                </c:pt>
                <c:pt idx="2">
                  <c:v>2E-3</c:v>
                </c:pt>
                <c:pt idx="3">
                  <c:v>3.5999999999999999E-3</c:v>
                </c:pt>
                <c:pt idx="4">
                  <c:v>5.4999999999999997E-3</c:v>
                </c:pt>
                <c:pt idx="5">
                  <c:v>8.0000000000000002E-3</c:v>
                </c:pt>
                <c:pt idx="6">
                  <c:v>1.11E-2</c:v>
                </c:pt>
                <c:pt idx="7">
                  <c:v>1.41E-2</c:v>
                </c:pt>
                <c:pt idx="8">
                  <c:v>1.78E-2</c:v>
                </c:pt>
                <c:pt idx="9">
                  <c:v>2.24E-2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7-4F5F-80B6-1149AAD15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892320"/>
        <c:axId val="659891072"/>
      </c:lineChart>
      <c:catAx>
        <c:axId val="659892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9891072"/>
        <c:crosses val="autoZero"/>
        <c:auto val="1"/>
        <c:lblAlgn val="ctr"/>
        <c:lblOffset val="100"/>
        <c:noMultiLvlLbl val="0"/>
      </c:catAx>
      <c:valAx>
        <c:axId val="6598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989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Tiempos</a:t>
            </a:r>
            <a:r>
              <a:rPr lang="es-ES" baseline="0"/>
              <a:t> vs T teorico * constate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Tiempos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Hoja1!$B$4:$B$13</c:f>
              <c:numCache>
                <c:formatCode>General</c:formatCode>
                <c:ptCount val="10"/>
                <c:pt idx="0">
                  <c:v>2.9999999999999997E-4</c:v>
                </c:pt>
                <c:pt idx="1">
                  <c:v>1E-3</c:v>
                </c:pt>
                <c:pt idx="2">
                  <c:v>2E-3</c:v>
                </c:pt>
                <c:pt idx="3">
                  <c:v>3.5999999999999999E-3</c:v>
                </c:pt>
                <c:pt idx="4">
                  <c:v>5.4999999999999997E-3</c:v>
                </c:pt>
                <c:pt idx="5">
                  <c:v>8.0000000000000002E-3</c:v>
                </c:pt>
                <c:pt idx="6">
                  <c:v>1.11E-2</c:v>
                </c:pt>
                <c:pt idx="7">
                  <c:v>1.41E-2</c:v>
                </c:pt>
                <c:pt idx="8">
                  <c:v>1.78E-2</c:v>
                </c:pt>
                <c:pt idx="9">
                  <c:v>2.24E-2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0-4D42-954C-509E20B9B93C}"/>
            </c:ext>
          </c:extLst>
        </c:ser>
        <c:ser>
          <c:idx val="1"/>
          <c:order val="1"/>
          <c:tx>
            <c:strRef>
              <c:f>Hoja1!$E$3</c:f>
              <c:strCache>
                <c:ptCount val="1"/>
                <c:pt idx="0">
                  <c:v>T teorico * const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Hoja1!$E$4:$E$13</c:f>
              <c:numCache>
                <c:formatCode>General</c:formatCode>
                <c:ptCount val="10"/>
                <c:pt idx="0">
                  <c:v>2.3300406431090958E-4</c:v>
                </c:pt>
                <c:pt idx="1">
                  <c:v>9.3201625724363831E-4</c:v>
                </c:pt>
                <c:pt idx="2">
                  <c:v>2.0970365787981861E-3</c:v>
                </c:pt>
                <c:pt idx="3">
                  <c:v>3.7280650289745533E-3</c:v>
                </c:pt>
                <c:pt idx="4">
                  <c:v>5.8251016077727393E-3</c:v>
                </c:pt>
                <c:pt idx="5">
                  <c:v>8.3881463151927443E-3</c:v>
                </c:pt>
                <c:pt idx="6">
                  <c:v>1.1417199151234569E-2</c:v>
                </c:pt>
                <c:pt idx="7">
                  <c:v>1.4912260115898213E-2</c:v>
                </c:pt>
                <c:pt idx="8">
                  <c:v>1.8873329209183675E-2</c:v>
                </c:pt>
                <c:pt idx="9">
                  <c:v>2.3300406431090957E-2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0-4D42-954C-509E20B9B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178416"/>
        <c:axId val="991170928"/>
      </c:lineChart>
      <c:catAx>
        <c:axId val="991178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170928"/>
        <c:crosses val="autoZero"/>
        <c:auto val="1"/>
        <c:lblAlgn val="ctr"/>
        <c:lblOffset val="100"/>
        <c:noMultiLvlLbl val="0"/>
      </c:catAx>
      <c:valAx>
        <c:axId val="9911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1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17</xdr:row>
      <xdr:rowOff>14287</xdr:rowOff>
    </xdr:from>
    <xdr:to>
      <xdr:col>6</xdr:col>
      <xdr:colOff>695325</xdr:colOff>
      <xdr:row>31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49D4E-4801-4EB5-BE12-21992F794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17</xdr:row>
      <xdr:rowOff>14287</xdr:rowOff>
    </xdr:from>
    <xdr:to>
      <xdr:col>13</xdr:col>
      <xdr:colOff>95250</xdr:colOff>
      <xdr:row>31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91DCF-2118-41E1-BBC5-9CF14FCFA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3F63-6700-44BC-9A61-0CE790230878}">
  <dimension ref="A3:L16"/>
  <sheetViews>
    <sheetView tabSelected="1" workbookViewId="0">
      <selection activeCell="L8" sqref="L8"/>
    </sheetView>
  </sheetViews>
  <sheetFormatPr baseColWidth="10" defaultRowHeight="15" x14ac:dyDescent="0.25"/>
  <cols>
    <col min="3" max="3" width="12" bestFit="1" customWidth="1"/>
    <col min="5" max="5" width="16.140625" customWidth="1"/>
  </cols>
  <sheetData>
    <row r="3" spans="1:12" x14ac:dyDescent="0.25">
      <c r="A3" s="3" t="s">
        <v>1</v>
      </c>
      <c r="B3" s="3" t="s">
        <v>0</v>
      </c>
      <c r="C3" s="3" t="s">
        <v>2</v>
      </c>
      <c r="D3" s="3" t="s">
        <v>3</v>
      </c>
      <c r="E3" s="3" t="s">
        <v>5</v>
      </c>
      <c r="F3" s="1"/>
      <c r="G3" s="1"/>
      <c r="H3" s="1"/>
    </row>
    <row r="4" spans="1:12" x14ac:dyDescent="0.25">
      <c r="A4" s="2">
        <v>1000</v>
      </c>
      <c r="B4" s="2">
        <v>2.9999999999999997E-4</v>
      </c>
      <c r="C4" s="2">
        <f t="shared" ref="C4:C13" si="0">A4^2</f>
        <v>1000000</v>
      </c>
      <c r="D4" s="2">
        <f t="shared" ref="D4:D13" si="1">B4/C4</f>
        <v>3E-10</v>
      </c>
      <c r="E4" s="2">
        <f xml:space="preserve"> C4*$C$15</f>
        <v>2.3300406431090958E-4</v>
      </c>
      <c r="F4" s="1"/>
      <c r="G4" s="1"/>
      <c r="H4" s="1"/>
    </row>
    <row r="5" spans="1:12" x14ac:dyDescent="0.25">
      <c r="A5" s="2">
        <v>2000</v>
      </c>
      <c r="B5" s="2">
        <v>1E-3</v>
      </c>
      <c r="C5" s="2">
        <f t="shared" si="0"/>
        <v>4000000</v>
      </c>
      <c r="D5" s="2">
        <f t="shared" si="1"/>
        <v>2.5000000000000002E-10</v>
      </c>
      <c r="E5" s="2">
        <f t="shared" ref="E5:E13" si="2" xml:space="preserve"> C5*$C$15</f>
        <v>9.3201625724363831E-4</v>
      </c>
      <c r="F5" s="1"/>
      <c r="G5" s="1"/>
      <c r="H5" s="1"/>
    </row>
    <row r="6" spans="1:12" x14ac:dyDescent="0.25">
      <c r="A6" s="2">
        <v>3000</v>
      </c>
      <c r="B6" s="2">
        <v>2E-3</v>
      </c>
      <c r="C6" s="2">
        <f t="shared" si="0"/>
        <v>9000000</v>
      </c>
      <c r="D6" s="2">
        <f t="shared" si="1"/>
        <v>2.2222222222222224E-10</v>
      </c>
      <c r="E6" s="2">
        <f t="shared" si="2"/>
        <v>2.0970365787981861E-3</v>
      </c>
      <c r="F6" s="1"/>
      <c r="G6" s="1"/>
      <c r="H6" s="1"/>
    </row>
    <row r="7" spans="1:12" x14ac:dyDescent="0.25">
      <c r="A7" s="2">
        <v>4000</v>
      </c>
      <c r="B7" s="2">
        <v>3.5999999999999999E-3</v>
      </c>
      <c r="C7" s="2">
        <f t="shared" si="0"/>
        <v>16000000</v>
      </c>
      <c r="D7" s="2">
        <f t="shared" si="1"/>
        <v>2.25E-10</v>
      </c>
      <c r="E7" s="2">
        <f t="shared" si="2"/>
        <v>3.7280650289745533E-3</v>
      </c>
      <c r="F7" s="1"/>
      <c r="H7" s="1"/>
      <c r="L7" s="4" t="s">
        <v>6</v>
      </c>
    </row>
    <row r="8" spans="1:12" x14ac:dyDescent="0.25">
      <c r="A8" s="2">
        <v>5000</v>
      </c>
      <c r="B8" s="2">
        <v>5.4999999999999997E-3</v>
      </c>
      <c r="C8" s="2">
        <f t="shared" si="0"/>
        <v>25000000</v>
      </c>
      <c r="D8" s="2">
        <f t="shared" si="1"/>
        <v>2.1999999999999999E-10</v>
      </c>
      <c r="E8" s="2">
        <f t="shared" si="2"/>
        <v>5.8251016077727393E-3</v>
      </c>
      <c r="F8" s="1"/>
      <c r="G8" s="1"/>
      <c r="H8" s="1"/>
    </row>
    <row r="9" spans="1:12" x14ac:dyDescent="0.25">
      <c r="A9" s="2">
        <v>6000</v>
      </c>
      <c r="B9" s="2">
        <v>8.0000000000000002E-3</v>
      </c>
      <c r="C9" s="2">
        <f t="shared" si="0"/>
        <v>36000000</v>
      </c>
      <c r="D9" s="2">
        <f t="shared" si="1"/>
        <v>2.2222222222222224E-10</v>
      </c>
      <c r="E9" s="2">
        <f t="shared" si="2"/>
        <v>8.3881463151927443E-3</v>
      </c>
      <c r="F9" s="1"/>
      <c r="G9" s="1"/>
      <c r="H9" s="1"/>
    </row>
    <row r="10" spans="1:12" x14ac:dyDescent="0.25">
      <c r="A10" s="2">
        <v>7000</v>
      </c>
      <c r="B10" s="2">
        <v>1.11E-2</v>
      </c>
      <c r="C10" s="2">
        <f t="shared" si="0"/>
        <v>49000000</v>
      </c>
      <c r="D10" s="2">
        <f t="shared" si="1"/>
        <v>2.2653061224489797E-10</v>
      </c>
      <c r="E10" s="2">
        <f t="shared" si="2"/>
        <v>1.1417199151234569E-2</v>
      </c>
      <c r="F10" s="1"/>
      <c r="G10" s="1"/>
      <c r="H10" s="1"/>
    </row>
    <row r="11" spans="1:12" x14ac:dyDescent="0.25">
      <c r="A11" s="2">
        <v>8000</v>
      </c>
      <c r="B11" s="2">
        <v>1.41E-2</v>
      </c>
      <c r="C11" s="2">
        <f t="shared" si="0"/>
        <v>64000000</v>
      </c>
      <c r="D11" s="2">
        <f t="shared" si="1"/>
        <v>2.2031249999999998E-10</v>
      </c>
      <c r="E11" s="2">
        <f t="shared" si="2"/>
        <v>1.4912260115898213E-2</v>
      </c>
      <c r="F11" s="1"/>
      <c r="G11" s="1"/>
      <c r="H11" s="1"/>
    </row>
    <row r="12" spans="1:12" x14ac:dyDescent="0.25">
      <c r="A12" s="2">
        <v>9000</v>
      </c>
      <c r="B12" s="2">
        <v>1.78E-2</v>
      </c>
      <c r="C12" s="2">
        <f t="shared" si="0"/>
        <v>81000000</v>
      </c>
      <c r="D12" s="2">
        <f t="shared" si="1"/>
        <v>2.1975308641975309E-10</v>
      </c>
      <c r="E12" s="2">
        <f t="shared" si="2"/>
        <v>1.8873329209183675E-2</v>
      </c>
      <c r="F12" s="1"/>
      <c r="G12" s="1"/>
      <c r="H12" s="1"/>
    </row>
    <row r="13" spans="1:12" x14ac:dyDescent="0.25">
      <c r="A13" s="2">
        <v>10000</v>
      </c>
      <c r="B13" s="2">
        <v>2.24E-2</v>
      </c>
      <c r="C13" s="2">
        <f t="shared" si="0"/>
        <v>100000000</v>
      </c>
      <c r="D13" s="2">
        <f t="shared" si="1"/>
        <v>2.24E-10</v>
      </c>
      <c r="E13" s="2">
        <f t="shared" si="2"/>
        <v>2.3300406431090957E-2</v>
      </c>
      <c r="F13" s="1"/>
      <c r="G13" s="1"/>
      <c r="H13" s="1"/>
    </row>
    <row r="14" spans="1:12" x14ac:dyDescent="0.25">
      <c r="B14" s="1"/>
      <c r="C14" s="1"/>
      <c r="D14" s="1"/>
      <c r="E14" s="1"/>
      <c r="F14" s="1"/>
      <c r="G14" s="1"/>
      <c r="H14" s="1"/>
    </row>
    <row r="15" spans="1:12" x14ac:dyDescent="0.25">
      <c r="B15" s="3" t="s">
        <v>4</v>
      </c>
      <c r="C15" s="2">
        <f>AVERAGE(D4:D13)</f>
        <v>2.3300406431090958E-10</v>
      </c>
      <c r="D15" s="1"/>
      <c r="E15" s="1"/>
      <c r="F15" s="1"/>
      <c r="G15" s="1"/>
      <c r="H15" s="1"/>
    </row>
    <row r="16" spans="1:12" x14ac:dyDescent="0.25">
      <c r="B16" s="1"/>
      <c r="C16" s="1"/>
      <c r="D16" s="1"/>
      <c r="E16" s="1"/>
      <c r="F16" s="1"/>
      <c r="G16" s="1"/>
      <c r="H16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Pelayo García Suárez</dc:creator>
  <cp:lastModifiedBy>Pelayo García Suárez</cp:lastModifiedBy>
  <dcterms:created xsi:type="dcterms:W3CDTF">2025-10-07T16:45:02Z</dcterms:created>
  <dcterms:modified xsi:type="dcterms:W3CDTF">2025-10-07T17:22:42Z</dcterms:modified>
</cp:coreProperties>
</file>