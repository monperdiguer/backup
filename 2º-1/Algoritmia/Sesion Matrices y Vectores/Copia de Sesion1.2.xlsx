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per\Downloads\"/>
    </mc:Choice>
  </mc:AlternateContent>
  <xr:revisionPtr revIDLastSave="0" documentId="13_ncr:1_{87F7106F-034D-438E-80D2-43E56FD14384}" xr6:coauthVersionLast="47" xr6:coauthVersionMax="47" xr10:uidLastSave="{00000000-0000-0000-0000-000000000000}"/>
  <bookViews>
    <workbookView xWindow="-108" yWindow="-108" windowWidth="23256" windowHeight="12456" xr2:uid="{3F34959D-A8AF-4A3C-B65A-74E488A9D8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3" i="1"/>
  <c r="E18" i="1"/>
  <c r="E19" i="1"/>
  <c r="E20" i="1"/>
  <c r="E21" i="1"/>
  <c r="E22" i="1"/>
  <c r="E23" i="1"/>
  <c r="E24" i="1"/>
  <c r="E25" i="1"/>
  <c r="E26" i="1"/>
  <c r="E27" i="1"/>
  <c r="E17" i="1"/>
  <c r="D17" i="1"/>
  <c r="E3" i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<sst xmlns="http://schemas.openxmlformats.org/spreadsheetml/2006/main" count="13" uniqueCount="12">
  <si>
    <t>Talla</t>
  </si>
  <si>
    <t>MC</t>
  </si>
  <si>
    <t>PC</t>
  </si>
  <si>
    <t>Algoritmo 2 y 3</t>
  </si>
  <si>
    <t>Algoritmo 1</t>
  </si>
  <si>
    <t>Tiempo Recursivo</t>
  </si>
  <si>
    <t>Tiempo Iterativo</t>
  </si>
  <si>
    <t>O(n^2)</t>
  </si>
  <si>
    <t>c</t>
  </si>
  <si>
    <t>k</t>
  </si>
  <si>
    <t>Recursivo *k</t>
  </si>
  <si>
    <t>c*f(n)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</si>
</sst>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Gráfica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Hoja1!$B$16</c:f>
              <c:strCache>
                <c:ptCount val="1"/>
                <c:pt idx="0">
                  <c:v>Tiempo Recursivo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Hoja1!$B$17:$B$27</c:f>
              <c:numCache>
                <c:formatCode>General</c:formatCode>
                <c:ptCount val="11"/>
                <c:pt idx="0">
                  <c:v>2.8E-5</c:v>
                </c:pt>
                <c:pt idx="1">
                  <c:v>3.1999999999999999E-5</c:v>
                </c:pt>
                <c:pt idx="2">
                  <c:v>3.8000000000000002E-5</c:v>
                </c:pt>
                <c:pt idx="3">
                  <c:v>4.3999999999999999E-5</c:v>
                </c:pt>
                <c:pt idx="4">
                  <c:v>5.0000000000000002E-5</c:v>
                </c:pt>
                <c:pt idx="5">
                  <c:v>5.8E-5</c:v>
                </c:pt>
                <c:pt idx="6">
                  <c:v>6.0000000000000002E-5</c:v>
                </c:pt>
                <c:pt idx="7">
                  <c:v>6.9999999999999994E-5</c:v>
                </c:pt>
                <c:pt idx="8">
                  <c:v>6.9999999999999994E-5</c:v>
                </c:pt>
                <c:pt idx="9">
                  <c:v>7.4999999999999993E-5</c:v>
                </c:pt>
                <c:pt idx="10">
                  <c:v>8.1000000000000004E-5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C-4B6A-8C67-753DA9486ADA}"/>
            </c:ext>
          </c:extLst>
        </c:ser>
        <c:ser>
          <c:idx val="1"/>
          <c:order val="1"/>
          <c:tx>
            <c:strRef>
              <c:f>Hoja1!$C$16</c:f>
              <c:strCache>
                <c:ptCount val="1"/>
                <c:pt idx="0">
                  <c:v>Tiempo Iterativo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Hoja1!$C$17:$C$27</c:f>
              <c:numCache>
                <c:formatCode>General</c:formatCode>
                <c:ptCount val="11"/>
                <c:pt idx="0">
                  <c:v>6.9999999999999999E-6</c:v>
                </c:pt>
                <c:pt idx="1">
                  <c:v>7.9999999999999996E-6</c:v>
                </c:pt>
                <c:pt idx="2">
                  <c:v>9.0000000000000002E-6</c:v>
                </c:pt>
                <c:pt idx="3">
                  <c:v>1.1E-5</c:v>
                </c:pt>
                <c:pt idx="4">
                  <c:v>1.2E-5</c:v>
                </c:pt>
                <c:pt idx="5">
                  <c:v>1.2999999999999999E-5</c:v>
                </c:pt>
                <c:pt idx="6">
                  <c:v>1.5E-5</c:v>
                </c:pt>
                <c:pt idx="7">
                  <c:v>1.5999999999999999E-5</c:v>
                </c:pt>
                <c:pt idx="8">
                  <c:v>1.7E-5</c:v>
                </c:pt>
                <c:pt idx="9">
                  <c:v>1.8E-5</c:v>
                </c:pt>
                <c:pt idx="10">
                  <c:v>2.0000000000000002E-5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C-4B6A-8C67-753DA9486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213023"/>
        <c:axId val="1885205823"/>
      </c:lineChart>
      <c:catAx>
        <c:axId val="188521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5205823"/>
        <c:crosses val="autoZero"/>
        <c:auto val="1"/>
        <c:lblAlgn val="ctr"/>
        <c:lblOffset val="100"/>
        <c:noMultiLvlLbl val="0"/>
      </c:catAx>
      <c:valAx>
        <c:axId val="188520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521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Gráfica 1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Mejor Caso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Hoja1!$A$3:$A$12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Hoja1!$B$3:$B$12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10-4C98-96AC-21B636E969CF}"/>
            </c:ext>
          </c:extLst>
        </c:ser>
        <c:ser>
          <c:idx val="1"/>
          <c:order val="1"/>
          <c:tx>
            <c:v>Peor Caso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Hoja1!$A$3:$A$12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Hoja1!$C$3:$C$12</c:f>
              <c:numCache>
                <c:formatCode>General</c:formatCode>
                <c:ptCount val="10"/>
                <c:pt idx="0">
                  <c:v>1E-3</c:v>
                </c:pt>
                <c:pt idx="1">
                  <c:v>3.8E-3</c:v>
                </c:pt>
                <c:pt idx="2">
                  <c:v>8.6E-3</c:v>
                </c:pt>
                <c:pt idx="3">
                  <c:v>1.55E-2</c:v>
                </c:pt>
                <c:pt idx="4">
                  <c:v>2.4500000000000001E-2</c:v>
                </c:pt>
                <c:pt idx="5">
                  <c:v>3.4500000000000003E-2</c:v>
                </c:pt>
                <c:pt idx="6">
                  <c:v>4.7E-2</c:v>
                </c:pt>
                <c:pt idx="7">
                  <c:v>6.1400000000000003E-2</c:v>
                </c:pt>
                <c:pt idx="8">
                  <c:v>7.7799999999999994E-2</c:v>
                </c:pt>
                <c:pt idx="9">
                  <c:v>9.6199999999999994E-2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10-4C98-96AC-21B636E96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418288"/>
        <c:axId val="1747405328"/>
      </c:scatterChart>
      <c:valAx>
        <c:axId val="174741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7405328"/>
        <c:crosses val="autoZero"/>
        <c:crossBetween val="midCat"/>
      </c:valAx>
      <c:valAx>
        <c:axId val="174740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7418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Gráfico</a:t>
            </a:r>
            <a:r>
              <a:rPr lang="es-ES" baseline="0"/>
              <a:t>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Hoja1!$C$16</c:f>
              <c:strCache>
                <c:ptCount val="1"/>
                <c:pt idx="0">
                  <c:v>Tiempo Iterativo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Hoja1!$A$17:$A$27</c:f>
              <c:numCache>
                <c:formatCode>General</c:formatCode>
                <c:ptCount val="11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</c:numCache>
            </c:numRef>
          </c:xVal>
          <c:yVal>
            <c:numRef>
              <c:f>Hoja1!$C$17:$C$27</c:f>
              <c:numCache>
                <c:formatCode>General</c:formatCode>
                <c:ptCount val="11"/>
                <c:pt idx="0">
                  <c:v>6.9999999999999999E-6</c:v>
                </c:pt>
                <c:pt idx="1">
                  <c:v>7.9999999999999996E-6</c:v>
                </c:pt>
                <c:pt idx="2">
                  <c:v>9.0000000000000002E-6</c:v>
                </c:pt>
                <c:pt idx="3">
                  <c:v>1.1E-5</c:v>
                </c:pt>
                <c:pt idx="4">
                  <c:v>1.2E-5</c:v>
                </c:pt>
                <c:pt idx="5">
                  <c:v>1.2999999999999999E-5</c:v>
                </c:pt>
                <c:pt idx="6">
                  <c:v>1.5E-5</c:v>
                </c:pt>
                <c:pt idx="7">
                  <c:v>1.5999999999999999E-5</c:v>
                </c:pt>
                <c:pt idx="8">
                  <c:v>1.7E-5</c:v>
                </c:pt>
                <c:pt idx="9">
                  <c:v>1.8E-5</c:v>
                </c:pt>
                <c:pt idx="10">
                  <c:v>2.0000000000000002E-5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62-4A54-B1AA-7A483C848102}"/>
            </c:ext>
          </c:extLst>
        </c:ser>
        <c:ser>
          <c:idx val="1"/>
          <c:order val="1"/>
          <c:tx>
            <c:strRef>
              <c:f>Hoja1!$E$16</c:f>
              <c:strCache>
                <c:ptCount val="1"/>
                <c:pt idx="0">
                  <c:v>Recursivo *k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Hoja1!$A$17:$A$27</c:f>
              <c:numCache>
                <c:formatCode>General</c:formatCode>
                <c:ptCount val="11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</c:numCache>
            </c:numRef>
          </c:xVal>
          <c:yVal>
            <c:numRef>
              <c:f>Hoja1!$E$17:$E$27</c:f>
              <c:numCache>
                <c:formatCode>General</c:formatCode>
                <c:ptCount val="11"/>
                <c:pt idx="0">
                  <c:v>6.7344287351929685E-6</c:v>
                </c:pt>
                <c:pt idx="1">
                  <c:v>7.6964899830776785E-6</c:v>
                </c:pt>
                <c:pt idx="2">
                  <c:v>9.139581854904744E-6</c:v>
                </c:pt>
                <c:pt idx="3">
                  <c:v>1.0582673726731808E-5</c:v>
                </c:pt>
                <c:pt idx="4">
                  <c:v>1.2025765598558873E-5</c:v>
                </c:pt>
                <c:pt idx="5">
                  <c:v>1.3949888094328292E-5</c:v>
                </c:pt>
                <c:pt idx="6">
                  <c:v>1.4430918718270648E-5</c:v>
                </c:pt>
                <c:pt idx="7">
                  <c:v>1.6836071837982421E-5</c:v>
                </c:pt>
                <c:pt idx="8">
                  <c:v>1.6836071837982421E-5</c:v>
                </c:pt>
                <c:pt idx="9">
                  <c:v>1.8038648397838309E-5</c:v>
                </c:pt>
                <c:pt idx="10">
                  <c:v>1.9481740269665376E-5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62-4A54-B1AA-7A483C848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103392"/>
        <c:axId val="2073105792"/>
      </c:scatterChart>
      <c:valAx>
        <c:axId val="207310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3105792"/>
        <c:crosses val="autoZero"/>
        <c:crossBetween val="midCat"/>
      </c:valAx>
      <c:valAx>
        <c:axId val="207310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310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Gráfica</a:t>
            </a:r>
            <a:r>
              <a:rPr lang="es-ES" baseline="0"/>
              <a:t>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Hoja1!$C$2</c:f>
              <c:strCache>
                <c:ptCount val="1"/>
                <c:pt idx="0">
                  <c:v>PC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Hoja1!$A$3:$A$12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Hoja1!$C$3:$C$12</c:f>
              <c:numCache>
                <c:formatCode>General</c:formatCode>
                <c:ptCount val="10"/>
                <c:pt idx="0">
                  <c:v>1E-3</c:v>
                </c:pt>
                <c:pt idx="1">
                  <c:v>3.8E-3</c:v>
                </c:pt>
                <c:pt idx="2">
                  <c:v>8.6E-3</c:v>
                </c:pt>
                <c:pt idx="3">
                  <c:v>1.55E-2</c:v>
                </c:pt>
                <c:pt idx="4">
                  <c:v>2.4500000000000001E-2</c:v>
                </c:pt>
                <c:pt idx="5">
                  <c:v>3.4500000000000003E-2</c:v>
                </c:pt>
                <c:pt idx="6">
                  <c:v>4.7E-2</c:v>
                </c:pt>
                <c:pt idx="7">
                  <c:v>6.1400000000000003E-2</c:v>
                </c:pt>
                <c:pt idx="8">
                  <c:v>7.7799999999999994E-2</c:v>
                </c:pt>
                <c:pt idx="9">
                  <c:v>9.6199999999999994E-2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15-4B75-A9DA-03FDCFCDE86B}"/>
            </c:ext>
          </c:extLst>
        </c:ser>
        <c:ser>
          <c:idx val="1"/>
          <c:order val="1"/>
          <c:tx>
            <c:strRef>
              <c:f>Hoja1!$F$2</c:f>
              <c:strCache>
                <c:ptCount val="1"/>
                <c:pt idx="0">
                  <c:v>c*f(n)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Hoja1!$A$3:$A$12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Hoja1!$F$3:$F$12</c:f>
              <c:numCache>
                <c:formatCode>General</c:formatCode>
                <c:ptCount val="10"/>
                <c:pt idx="0">
                  <c:v>9.6121659495519674E-4</c:v>
                </c:pt>
                <c:pt idx="1">
                  <c:v>3.844866379820787E-3</c:v>
                </c:pt>
                <c:pt idx="2">
                  <c:v>8.6509493545967701E-3</c:v>
                </c:pt>
                <c:pt idx="3">
                  <c:v>1.5379465519283148E-2</c:v>
                </c:pt>
                <c:pt idx="4">
                  <c:v>2.403041487387992E-2</c:v>
                </c:pt>
                <c:pt idx="5">
                  <c:v>3.4603797418387081E-2</c:v>
                </c:pt>
                <c:pt idx="6">
                  <c:v>4.7099613152804642E-2</c:v>
                </c:pt>
                <c:pt idx="7">
                  <c:v>6.1517862077132592E-2</c:v>
                </c:pt>
                <c:pt idx="8">
                  <c:v>7.7858544191370935E-2</c:v>
                </c:pt>
                <c:pt idx="9">
                  <c:v>9.6121659495519679E-2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15-4B75-A9DA-03FDCFCDE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136512"/>
        <c:axId val="2073136992"/>
      </c:scatterChart>
      <c:valAx>
        <c:axId val="207313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3136992"/>
        <c:crosses val="autoZero"/>
        <c:crossBetween val="midCat"/>
      </c:valAx>
      <c:valAx>
        <c:axId val="207313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3136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643890</xdr:colOff>
      <xdr:row>14</xdr:row>
      <xdr:rowOff>156210</xdr:rowOff>
    </xdr:from>
    <xdr:to>
      <xdr:col>11</xdr:col>
      <xdr:colOff>489585</xdr:colOff>
      <xdr:row>29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2A6FBE-E94E-6162-1BC1-2C58FD2A6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161924</xdr:colOff>
      <xdr:row>0</xdr:row>
      <xdr:rowOff>180974</xdr:rowOff>
    </xdr:from>
    <xdr:to>
      <xdr:col>11</xdr:col>
      <xdr:colOff>314324</xdr:colOff>
      <xdr:row>14</xdr:row>
      <xdr:rowOff>19049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A22E712-1D81-840F-3E3D-BE3976140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590550</xdr:colOff>
      <xdr:row>14</xdr:row>
      <xdr:rowOff>176213</xdr:rowOff>
    </xdr:from>
    <xdr:to>
      <xdr:col>17</xdr:col>
      <xdr:colOff>419100</xdr:colOff>
      <xdr:row>29</xdr:row>
      <xdr:rowOff>176213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4770F1A-D5FA-6441-83A9-195C44C6D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581025</xdr:colOff>
      <xdr:row>1</xdr:row>
      <xdr:rowOff>9525</xdr:rowOff>
    </xdr:from>
    <xdr:to>
      <xdr:col>17</xdr:col>
      <xdr:colOff>447675</xdr:colOff>
      <xdr:row>14</xdr:row>
      <xdr:rowOff>47626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A934632-880E-89FB-B094-278DAA6BC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2833-4070-4F78-856D-A42FF898653C}">
  <dimension ref="A1:Q27"/>
  <sheetViews>
    <sheetView tabSelected="1" zoomScale="80" zoomScaleNormal="80" workbookViewId="0">
      <selection activeCell="S22" sqref="S22"/>
    </sheetView>
  </sheetViews>
  <sheetFormatPr baseColWidth="10" defaultRowHeight="14.4" x14ac:dyDescent="0.3"/>
  <cols>
    <col min="2" max="2" width="16.88671875" bestFit="1" customWidth="1"/>
    <col min="3" max="3" width="15.6640625" bestFit="1" customWidth="1"/>
    <col min="5" max="5" width="12" bestFit="1" customWidth="1"/>
  </cols>
  <sheetData>
    <row r="1" spans="1:17" x14ac:dyDescent="0.3">
      <c r="A1" t="s">
        <v>4</v>
      </c>
    </row>
    <row r="2" spans="1:17" x14ac:dyDescent="0.3">
      <c r="A2" t="s">
        <v>0</v>
      </c>
      <c r="B2" t="s">
        <v>1</v>
      </c>
      <c r="C2" t="s">
        <v>2</v>
      </c>
      <c r="D2" t="s">
        <v>7</v>
      </c>
      <c r="E2" t="s">
        <v>8</v>
      </c>
      <c r="F2" t="s">
        <v>11</v>
      </c>
    </row>
    <row r="3" spans="1:17" x14ac:dyDescent="0.3">
      <c r="A3">
        <v>1000</v>
      </c>
      <c r="B3">
        <v>0</v>
      </c>
      <c r="C3">
        <v>1E-3</v>
      </c>
      <c r="D3">
        <f>A3^2</f>
        <v>1000000</v>
      </c>
      <c r="E3">
        <f>SUMPRODUCT(C3:C12,D3:D12)/SUMPRODUCT(D3:D12,D3:D12)</f>
        <v>9.6121659495519674E-10</v>
      </c>
      <c r="F3">
        <f>D3*$E$3</f>
        <v>9.6121659495519674E-4</v>
      </c>
      <c r="Q3" s="1"/>
    </row>
    <row r="4" spans="1:17" x14ac:dyDescent="0.3">
      <c r="A4">
        <v>2000</v>
      </c>
      <c r="B4">
        <v>0</v>
      </c>
      <c r="C4">
        <v>3.8E-3</v>
      </c>
      <c r="D4">
        <f t="shared" ref="D4:D12" si="0">A4^2</f>
        <v>4000000</v>
      </c>
      <c r="F4">
        <f t="shared" ref="F4:F12" si="1">D4*$E$3</f>
        <v>3.844866379820787E-3</v>
      </c>
    </row>
    <row r="5" spans="1:17" x14ac:dyDescent="0.3">
      <c r="A5">
        <v>3000</v>
      </c>
      <c r="B5">
        <v>0</v>
      </c>
      <c r="C5">
        <v>8.6E-3</v>
      </c>
      <c r="D5">
        <f t="shared" si="0"/>
        <v>9000000</v>
      </c>
      <c r="F5">
        <f t="shared" si="1"/>
        <v>8.6509493545967701E-3</v>
      </c>
    </row>
    <row r="6" spans="1:17" x14ac:dyDescent="0.3">
      <c r="A6">
        <v>4000</v>
      </c>
      <c r="B6">
        <v>0</v>
      </c>
      <c r="C6">
        <v>1.55E-2</v>
      </c>
      <c r="D6">
        <f t="shared" si="0"/>
        <v>16000000</v>
      </c>
      <c r="F6">
        <f t="shared" si="1"/>
        <v>1.5379465519283148E-2</v>
      </c>
    </row>
    <row r="7" spans="1:17" x14ac:dyDescent="0.3">
      <c r="A7">
        <v>5000</v>
      </c>
      <c r="B7">
        <v>0</v>
      </c>
      <c r="C7">
        <v>2.4500000000000001E-2</v>
      </c>
      <c r="D7">
        <f t="shared" si="0"/>
        <v>25000000</v>
      </c>
      <c r="F7">
        <f t="shared" si="1"/>
        <v>2.403041487387992E-2</v>
      </c>
    </row>
    <row r="8" spans="1:17" x14ac:dyDescent="0.3">
      <c r="A8">
        <v>6000</v>
      </c>
      <c r="B8">
        <v>0</v>
      </c>
      <c r="C8">
        <v>3.4500000000000003E-2</v>
      </c>
      <c r="D8">
        <f t="shared" si="0"/>
        <v>36000000</v>
      </c>
      <c r="F8">
        <f t="shared" si="1"/>
        <v>3.4603797418387081E-2</v>
      </c>
    </row>
    <row r="9" spans="1:17" x14ac:dyDescent="0.3">
      <c r="A9">
        <v>7000</v>
      </c>
      <c r="B9">
        <v>0</v>
      </c>
      <c r="C9">
        <v>4.7E-2</v>
      </c>
      <c r="D9">
        <f t="shared" si="0"/>
        <v>49000000</v>
      </c>
      <c r="F9">
        <f t="shared" si="1"/>
        <v>4.7099613152804642E-2</v>
      </c>
    </row>
    <row r="10" spans="1:17" x14ac:dyDescent="0.3">
      <c r="A10">
        <v>8000</v>
      </c>
      <c r="B10">
        <v>0</v>
      </c>
      <c r="C10">
        <v>6.1400000000000003E-2</v>
      </c>
      <c r="D10">
        <f t="shared" si="0"/>
        <v>64000000</v>
      </c>
      <c r="F10">
        <f t="shared" si="1"/>
        <v>6.1517862077132592E-2</v>
      </c>
    </row>
    <row r="11" spans="1:17" x14ac:dyDescent="0.3">
      <c r="A11">
        <v>9000</v>
      </c>
      <c r="B11">
        <v>0</v>
      </c>
      <c r="C11">
        <v>7.7799999999999994E-2</v>
      </c>
      <c r="D11">
        <f t="shared" si="0"/>
        <v>81000000</v>
      </c>
      <c r="F11">
        <f t="shared" si="1"/>
        <v>7.7858544191370935E-2</v>
      </c>
    </row>
    <row r="12" spans="1:17" x14ac:dyDescent="0.3">
      <c r="A12">
        <v>10000</v>
      </c>
      <c r="B12">
        <v>0</v>
      </c>
      <c r="C12">
        <v>9.6199999999999994E-2</v>
      </c>
      <c r="D12">
        <f t="shared" si="0"/>
        <v>100000000</v>
      </c>
      <c r="F12">
        <f t="shared" si="1"/>
        <v>9.6121659495519679E-2</v>
      </c>
    </row>
    <row r="15" spans="1:17" x14ac:dyDescent="0.3">
      <c r="A15" t="s">
        <v>3</v>
      </c>
    </row>
    <row r="16" spans="1:17" x14ac:dyDescent="0.3">
      <c r="A16" t="s">
        <v>0</v>
      </c>
      <c r="B16" t="s">
        <v>5</v>
      </c>
      <c r="C16" t="s">
        <v>6</v>
      </c>
      <c r="D16" t="s">
        <v>9</v>
      </c>
      <c r="E16" t="s">
        <v>10</v>
      </c>
    </row>
    <row r="17" spans="1:5" x14ac:dyDescent="0.3">
      <c r="A17">
        <v>10000</v>
      </c>
      <c r="B17">
        <v>2.8E-5</v>
      </c>
      <c r="C17">
        <v>6.9999999999999999E-6</v>
      </c>
      <c r="D17">
        <f>SUMPRODUCT(C17:C27,B17:B27)/SUMPRODUCT(B17:B27,B17:B27)</f>
        <v>0.24051531197117745</v>
      </c>
      <c r="E17">
        <f>B17*$D$17</f>
        <v>6.7344287351929685E-6</v>
      </c>
    </row>
    <row r="18" spans="1:5" x14ac:dyDescent="0.3">
      <c r="A18">
        <v>12000</v>
      </c>
      <c r="B18">
        <v>3.1999999999999999E-5</v>
      </c>
      <c r="C18">
        <v>7.9999999999999996E-6</v>
      </c>
      <c r="E18">
        <f t="shared" ref="E18:E27" si="2">B18*$D$17</f>
        <v>7.6964899830776785E-6</v>
      </c>
    </row>
    <row r="19" spans="1:5" x14ac:dyDescent="0.3">
      <c r="A19">
        <v>14000</v>
      </c>
      <c r="B19">
        <v>3.8000000000000002E-5</v>
      </c>
      <c r="C19">
        <v>9.0000000000000002E-6</v>
      </c>
      <c r="E19">
        <f t="shared" si="2"/>
        <v>9.139581854904744E-6</v>
      </c>
    </row>
    <row r="20" spans="1:5" x14ac:dyDescent="0.3">
      <c r="A20">
        <v>16000</v>
      </c>
      <c r="B20">
        <v>4.3999999999999999E-5</v>
      </c>
      <c r="C20">
        <v>1.1E-5</v>
      </c>
      <c r="E20">
        <f t="shared" si="2"/>
        <v>1.0582673726731808E-5</v>
      </c>
    </row>
    <row r="21" spans="1:5" x14ac:dyDescent="0.3">
      <c r="A21">
        <v>18000</v>
      </c>
      <c r="B21">
        <v>5.0000000000000002E-5</v>
      </c>
      <c r="C21">
        <v>1.2E-5</v>
      </c>
      <c r="E21">
        <f t="shared" si="2"/>
        <v>1.2025765598558873E-5</v>
      </c>
    </row>
    <row r="22" spans="1:5" x14ac:dyDescent="0.3">
      <c r="A22">
        <v>20000</v>
      </c>
      <c r="B22">
        <v>5.8E-5</v>
      </c>
      <c r="C22">
        <v>1.2999999999999999E-5</v>
      </c>
      <c r="E22">
        <f t="shared" si="2"/>
        <v>1.3949888094328292E-5</v>
      </c>
    </row>
    <row r="23" spans="1:5" x14ac:dyDescent="0.3">
      <c r="A23">
        <v>22000</v>
      </c>
      <c r="B23">
        <v>6.0000000000000002E-5</v>
      </c>
      <c r="C23">
        <v>1.5E-5</v>
      </c>
      <c r="E23">
        <f t="shared" si="2"/>
        <v>1.4430918718270648E-5</v>
      </c>
    </row>
    <row r="24" spans="1:5" x14ac:dyDescent="0.3">
      <c r="A24">
        <v>24000</v>
      </c>
      <c r="B24">
        <v>6.9999999999999994E-5</v>
      </c>
      <c r="C24">
        <v>1.5999999999999999E-5</v>
      </c>
      <c r="E24">
        <f t="shared" si="2"/>
        <v>1.6836071837982421E-5</v>
      </c>
    </row>
    <row r="25" spans="1:5" x14ac:dyDescent="0.3">
      <c r="A25">
        <v>26000</v>
      </c>
      <c r="B25">
        <v>6.9999999999999994E-5</v>
      </c>
      <c r="C25">
        <v>1.7E-5</v>
      </c>
      <c r="E25">
        <f t="shared" si="2"/>
        <v>1.6836071837982421E-5</v>
      </c>
    </row>
    <row r="26" spans="1:5" ht="17.25" customHeight="1" x14ac:dyDescent="0.3">
      <c r="A26">
        <v>28000</v>
      </c>
      <c r="B26">
        <v>7.4999999999999993E-5</v>
      </c>
      <c r="C26">
        <v>1.8E-5</v>
      </c>
      <c r="E26">
        <f t="shared" si="2"/>
        <v>1.8038648397838309E-5</v>
      </c>
    </row>
    <row r="27" spans="1:5" x14ac:dyDescent="0.3">
      <c r="A27">
        <v>30000</v>
      </c>
      <c r="B27">
        <v>8.1000000000000004E-5</v>
      </c>
      <c r="C27">
        <v>2.0000000000000002E-5</v>
      </c>
      <c r="E27">
        <f t="shared" si="2"/>
        <v>1.9481740269665376E-5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Perdiguer Caso</dc:creator>
  <cp:lastModifiedBy>Mónica Perdiguer Caso</cp:lastModifiedBy>
  <dcterms:created xsi:type="dcterms:W3CDTF">2025-10-01T15:08:35Z</dcterms:created>
  <dcterms:modified xsi:type="dcterms:W3CDTF">2025-10-08T08:05:46Z</dcterms:modified>
</cp:coreProperties>
</file>