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per\Downloads\sesion_1_1_ALUMNO (1)\sesion_1_1_ALUMNO\"/>
    </mc:Choice>
  </mc:AlternateContent>
  <xr:revisionPtr revIDLastSave="0" documentId="13_ncr:1_{85E88D42-0E08-4356-A46C-3A8CE98B29C5}" xr6:coauthVersionLast="47" xr6:coauthVersionMax="47" xr10:uidLastSave="{00000000-0000-0000-0000-000000000000}"/>
  <bookViews>
    <workbookView xWindow="11184" yWindow="1116" windowWidth="11244" windowHeight="10920" xr2:uid="{7F75F573-6D6E-42D2-8853-862C593C5123}"/>
  </bookViews>
  <sheets>
    <sheet name="Python vs 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3" i="3"/>
  <c r="H4" i="3"/>
  <c r="H5" i="3"/>
  <c r="H6" i="3"/>
  <c r="H7" i="3"/>
  <c r="H8" i="3"/>
  <c r="H9" i="3"/>
  <c r="H10" i="3"/>
  <c r="H11" i="3"/>
  <c r="H12" i="3"/>
  <c r="H13" i="3"/>
  <c r="H14" i="3"/>
  <c r="H3" i="3"/>
  <c r="E4" i="3"/>
  <c r="E5" i="3"/>
  <c r="E6" i="3"/>
  <c r="E7" i="3"/>
  <c r="E8" i="3"/>
  <c r="E9" i="3"/>
  <c r="E10" i="3"/>
  <c r="E11" i="3"/>
  <c r="E12" i="3"/>
  <c r="E13" i="3"/>
  <c r="E14" i="3"/>
  <c r="D4" i="3"/>
  <c r="D5" i="3"/>
  <c r="D6" i="3"/>
  <c r="D7" i="3"/>
  <c r="D8" i="3"/>
  <c r="D9" i="3"/>
  <c r="D10" i="3"/>
  <c r="D11" i="3"/>
  <c r="D12" i="3"/>
  <c r="D13" i="3"/>
  <c r="D14" i="3"/>
  <c r="D3" i="3"/>
  <c r="E3" i="3"/>
  <c r="F3" i="3" l="1"/>
  <c r="F14" i="3"/>
  <c r="F11" i="3"/>
  <c r="F10" i="3"/>
  <c r="F9" i="3"/>
  <c r="F8" i="3"/>
  <c r="F12" i="3"/>
  <c r="F7" i="3"/>
  <c r="F13" i="3"/>
  <c r="F6" i="3"/>
  <c r="F5" i="3"/>
  <c r="F4" i="3"/>
</calcChain>
</file>

<file path=xl/sharedStrings.xml><?xml version="1.0" encoding="utf-8"?>
<sst xmlns="http://schemas.openxmlformats.org/spreadsheetml/2006/main" count="9" uniqueCount="9">
  <si>
    <t>talla</t>
  </si>
  <si>
    <t>teórico</t>
  </si>
  <si>
    <t>C</t>
  </si>
  <si>
    <t>promedio cte</t>
  </si>
  <si>
    <t>Python *cte</t>
  </si>
  <si>
    <t>Python (listas)</t>
  </si>
  <si>
    <t>constante</t>
  </si>
  <si>
    <t>cc</t>
  </si>
  <si>
    <t>promedio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</si>
</sst>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91A3-BC52-4F82-96FB-D87C384744F3}">
  <dimension ref="A2:K25"/>
  <sheetViews>
    <sheetView tabSelected="1" topLeftCell="E1" zoomScaleNormal="100" workbookViewId="0">
      <selection activeCell="K12" sqref="K12"/>
    </sheetView>
  </sheetViews>
  <sheetFormatPr baseColWidth="10" defaultRowHeight="14.4" x14ac:dyDescent="0.3"/>
  <cols>
    <col min="2" max="2" width="23.109375" customWidth="1"/>
    <col min="3" max="3" width="17.5546875" customWidth="1"/>
    <col min="4" max="4" width="16.44140625" customWidth="1"/>
    <col min="6" max="6" width="15" customWidth="1"/>
    <col min="10" max="10" width="17.44140625" customWidth="1"/>
    <col min="11" max="11" width="12" bestFit="1" customWidth="1"/>
  </cols>
  <sheetData>
    <row r="2" spans="1:11" x14ac:dyDescent="0.3">
      <c r="A2" s="4" t="s">
        <v>0</v>
      </c>
      <c r="B2" s="4" t="s">
        <v>5</v>
      </c>
      <c r="C2" s="4" t="s">
        <v>2</v>
      </c>
      <c r="D2" s="4" t="s">
        <v>1</v>
      </c>
      <c r="E2" s="4" t="s">
        <v>6</v>
      </c>
      <c r="F2" s="4" t="s">
        <v>4</v>
      </c>
      <c r="H2" s="4" t="s">
        <v>7</v>
      </c>
    </row>
    <row r="3" spans="1:11" x14ac:dyDescent="0.3">
      <c r="A3" s="2">
        <v>25</v>
      </c>
      <c r="B3" s="5">
        <v>265.49700000000001</v>
      </c>
      <c r="C3" s="5">
        <v>5.1999999999999997E-5</v>
      </c>
      <c r="D3" s="6">
        <f>A3^3</f>
        <v>15625</v>
      </c>
      <c r="E3" s="5">
        <f>C3/B3</f>
        <v>1.9585908692000285E-7</v>
      </c>
      <c r="F3" s="5">
        <f>B3*$K$3</f>
        <v>2.0287875324464784E-4</v>
      </c>
      <c r="H3">
        <f>C3/A3^3</f>
        <v>3.3279999999999997E-9</v>
      </c>
      <c r="J3" s="3" t="s">
        <v>3</v>
      </c>
      <c r="K3" s="3">
        <f>AVERAGE(E3:E14)</f>
        <v>7.6414706473010181E-7</v>
      </c>
    </row>
    <row r="4" spans="1:11" x14ac:dyDescent="0.3">
      <c r="A4" s="2">
        <v>50</v>
      </c>
      <c r="B4" s="5">
        <v>2072.12</v>
      </c>
      <c r="C4" s="5">
        <v>4.1599999999999997E-4</v>
      </c>
      <c r="D4" s="6">
        <f t="shared" ref="D4:D14" si="0">A4^3</f>
        <v>125000</v>
      </c>
      <c r="E4" s="5">
        <f t="shared" ref="E4:E14" si="1">C4/B4</f>
        <v>2.0076057371194717E-7</v>
      </c>
      <c r="F4" s="5">
        <f>B4*$K$3</f>
        <v>1.5834044157685386E-3</v>
      </c>
      <c r="H4">
        <f t="shared" ref="H4:H14" si="2">C4/A4^3</f>
        <v>3.3279999999999997E-9</v>
      </c>
      <c r="J4" t="s">
        <v>8</v>
      </c>
      <c r="K4">
        <f>AVERAGE(H3:H14)</f>
        <v>1.1903486630988788E-8</v>
      </c>
    </row>
    <row r="5" spans="1:11" x14ac:dyDescent="0.3">
      <c r="A5" s="2">
        <v>75</v>
      </c>
      <c r="B5" s="5">
        <v>2072.12</v>
      </c>
      <c r="C5" s="5">
        <v>1.4400000000000001E-3</v>
      </c>
      <c r="D5" s="6">
        <f t="shared" si="0"/>
        <v>421875</v>
      </c>
      <c r="E5" s="5">
        <f t="shared" si="1"/>
        <v>6.9494044746443259E-7</v>
      </c>
      <c r="F5" s="5">
        <f>B5*$K$3</f>
        <v>1.5834044157685386E-3</v>
      </c>
      <c r="H5">
        <f t="shared" si="2"/>
        <v>3.4133333333333335E-9</v>
      </c>
    </row>
    <row r="6" spans="1:11" x14ac:dyDescent="0.3">
      <c r="A6" s="2">
        <v>100</v>
      </c>
      <c r="B6" s="5">
        <v>16588.099999999999</v>
      </c>
      <c r="C6" s="5">
        <v>3.5000000000000001E-3</v>
      </c>
      <c r="D6" s="6">
        <f t="shared" si="0"/>
        <v>1000000</v>
      </c>
      <c r="E6" s="5">
        <f t="shared" si="1"/>
        <v>2.1099462867959565E-7</v>
      </c>
      <c r="F6" s="5">
        <f>B6*$K$3</f>
        <v>1.26757479244494E-2</v>
      </c>
      <c r="H6">
        <f t="shared" si="2"/>
        <v>3.4999999999999999E-9</v>
      </c>
    </row>
    <row r="7" spans="1:11" x14ac:dyDescent="0.3">
      <c r="A7" s="2">
        <v>125</v>
      </c>
      <c r="B7" s="5">
        <v>33251.800000000003</v>
      </c>
      <c r="C7" s="5">
        <v>6.9800000000000001E-3</v>
      </c>
      <c r="D7" s="6">
        <f t="shared" si="0"/>
        <v>1953125</v>
      </c>
      <c r="E7" s="5">
        <f t="shared" si="1"/>
        <v>2.0991344829452841E-7</v>
      </c>
      <c r="F7" s="5">
        <f>B7*$K$3</f>
        <v>2.5409265366992402E-2</v>
      </c>
      <c r="H7">
        <f t="shared" si="2"/>
        <v>3.5737599999999999E-9</v>
      </c>
    </row>
    <row r="8" spans="1:11" x14ac:dyDescent="0.3">
      <c r="A8" s="2">
        <v>150</v>
      </c>
      <c r="B8" s="5">
        <v>75160</v>
      </c>
      <c r="C8" s="5">
        <v>1.24E-2</v>
      </c>
      <c r="D8" s="6">
        <f t="shared" si="0"/>
        <v>3375000</v>
      </c>
      <c r="E8" s="5">
        <f t="shared" si="1"/>
        <v>1.6498137307078232E-7</v>
      </c>
      <c r="F8" s="5">
        <f>B8*$K$3</f>
        <v>5.7433293385114451E-2</v>
      </c>
      <c r="H8">
        <f t="shared" si="2"/>
        <v>3.6740740740740738E-9</v>
      </c>
    </row>
    <row r="9" spans="1:11" x14ac:dyDescent="0.3">
      <c r="A9" s="2">
        <v>175</v>
      </c>
      <c r="B9" s="5">
        <v>87810.2</v>
      </c>
      <c r="C9" s="5">
        <v>0.192</v>
      </c>
      <c r="D9" s="6">
        <f t="shared" si="0"/>
        <v>5359375</v>
      </c>
      <c r="E9" s="5">
        <f t="shared" si="1"/>
        <v>2.1865341384030557E-6</v>
      </c>
      <c r="F9" s="5">
        <f>B9*$K$3</f>
        <v>6.7099906583363178E-2</v>
      </c>
      <c r="H9">
        <f t="shared" si="2"/>
        <v>3.5825072886297379E-8</v>
      </c>
    </row>
    <row r="10" spans="1:11" x14ac:dyDescent="0.3">
      <c r="A10" s="2">
        <v>200</v>
      </c>
      <c r="B10" s="5">
        <v>133953</v>
      </c>
      <c r="C10" s="5">
        <v>2.8000000000000001E-2</v>
      </c>
      <c r="D10" s="6">
        <f t="shared" si="0"/>
        <v>8000000</v>
      </c>
      <c r="E10" s="5">
        <f t="shared" si="1"/>
        <v>2.0902853986099603E-7</v>
      </c>
      <c r="F10" s="5">
        <f>B10*$K$3</f>
        <v>0.10235979176179133</v>
      </c>
      <c r="H10">
        <f t="shared" si="2"/>
        <v>3.4999999999999999E-9</v>
      </c>
    </row>
    <row r="11" spans="1:11" x14ac:dyDescent="0.3">
      <c r="A11" s="2">
        <v>225</v>
      </c>
      <c r="B11" s="5">
        <v>187045</v>
      </c>
      <c r="C11" s="5">
        <v>4.1599999999999998E-2</v>
      </c>
      <c r="D11" s="6">
        <f t="shared" si="0"/>
        <v>11390625</v>
      </c>
      <c r="E11" s="5">
        <f t="shared" si="1"/>
        <v>2.2240637279798978E-7</v>
      </c>
      <c r="F11" s="5">
        <f>B11*$K$3</f>
        <v>0.14292988772244189</v>
      </c>
      <c r="H11">
        <f t="shared" si="2"/>
        <v>3.6521262002743484E-9</v>
      </c>
    </row>
    <row r="12" spans="1:11" x14ac:dyDescent="0.3">
      <c r="A12" s="2">
        <v>250</v>
      </c>
      <c r="B12" s="5">
        <v>252398</v>
      </c>
      <c r="C12" s="5">
        <v>0.57999999999999996</v>
      </c>
      <c r="D12" s="6">
        <f t="shared" si="0"/>
        <v>15625000</v>
      </c>
      <c r="E12" s="5">
        <f t="shared" si="1"/>
        <v>2.2979579869888031E-6</v>
      </c>
      <c r="F12" s="5">
        <f>B12*$K$3</f>
        <v>0.19286919084374823</v>
      </c>
      <c r="H12">
        <f t="shared" si="2"/>
        <v>3.7119999999999998E-8</v>
      </c>
    </row>
    <row r="13" spans="1:11" x14ac:dyDescent="0.3">
      <c r="A13" s="2">
        <v>275</v>
      </c>
      <c r="B13" s="5">
        <v>338185</v>
      </c>
      <c r="C13" s="5">
        <v>0.78600000000000003</v>
      </c>
      <c r="D13" s="6">
        <f t="shared" si="0"/>
        <v>20796875</v>
      </c>
      <c r="E13" s="5">
        <f t="shared" si="1"/>
        <v>2.3241716811804191E-6</v>
      </c>
      <c r="F13" s="5">
        <f>B13*$K$3</f>
        <v>0.25842307508574947</v>
      </c>
      <c r="H13">
        <f t="shared" si="2"/>
        <v>3.7794139744552968E-8</v>
      </c>
    </row>
    <row r="14" spans="1:11" x14ac:dyDescent="0.3">
      <c r="A14" s="2">
        <v>300</v>
      </c>
      <c r="B14" s="5">
        <v>442477</v>
      </c>
      <c r="C14" s="5">
        <v>0.1116</v>
      </c>
      <c r="D14" s="6">
        <f t="shared" si="0"/>
        <v>27000000</v>
      </c>
      <c r="E14" s="5">
        <f t="shared" si="1"/>
        <v>2.5221649938866882E-7</v>
      </c>
      <c r="F14" s="5">
        <f>B14*$K$3</f>
        <v>0.33811750076058128</v>
      </c>
      <c r="H14">
        <f t="shared" si="2"/>
        <v>4.1333333333333331E-9</v>
      </c>
    </row>
    <row r="16" spans="1:11" x14ac:dyDescent="0.3">
      <c r="D16" s="7"/>
      <c r="E16" s="7"/>
    </row>
    <row r="17" spans="1:4" x14ac:dyDescent="0.3">
      <c r="B17" s="1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4" spans="1:4" x14ac:dyDescent="0.3">
      <c r="B24" s="1"/>
    </row>
    <row r="25" spans="1:4" x14ac:dyDescent="0.3">
      <c r="C2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Python vs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CORTINA PARAJON</dc:creator>
  <cp:lastModifiedBy>Mónica Perdiguer Caso</cp:lastModifiedBy>
  <dcterms:created xsi:type="dcterms:W3CDTF">2023-09-20T11:38:46Z</dcterms:created>
  <dcterms:modified xsi:type="dcterms:W3CDTF">2025-10-08T08:40:46Z</dcterms:modified>
</cp:coreProperties>
</file>